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ADIO_ELECTRONICS\cxem\Для домy\Docs\WiFi_UPS.v3\"/>
    </mc:Choice>
  </mc:AlternateContent>
  <xr:revisionPtr revIDLastSave="0" documentId="13_ncr:1_{A59225FD-5949-48A6-910D-9BD16F5F211B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<sst xmlns="http://schemas.openxmlformats.org/spreadsheetml/2006/main" count="367" uniqueCount="223">
  <si>
    <t>Assembly variant</t>
  </si>
  <si>
    <t>Document timestamp</t>
  </si>
  <si>
    <t>Technical information</t>
  </si>
  <si>
    <t>Additional information</t>
  </si>
  <si>
    <t>Engineer(s)</t>
  </si>
  <si>
    <t>Product name</t>
  </si>
  <si>
    <t>Project name</t>
  </si>
  <si>
    <t>Revision</t>
  </si>
  <si>
    <t>WiFi_UPS</t>
  </si>
  <si>
    <t>WiFi_UPS.PrjPcb</t>
  </si>
  <si>
    <t>v3</t>
  </si>
  <si>
    <t>None</t>
  </si>
  <si>
    <t>Starovit</t>
  </si>
  <si>
    <t>02.09.2025</t>
  </si>
  <si>
    <t>21:41</t>
  </si>
  <si>
    <t>Designator</t>
  </si>
  <si>
    <t>BT1, BT2</t>
  </si>
  <si>
    <t>C1A, C1B, C4A, C4B</t>
  </si>
  <si>
    <t>C2A, C2B, C3A, C3B, C5A, C5B, C7, C15</t>
  </si>
  <si>
    <t>C8, C22</t>
  </si>
  <si>
    <t>C9, C18, C21A, C21B, C23A, C23B</t>
  </si>
  <si>
    <t>C10</t>
  </si>
  <si>
    <t>C11, C13, C14</t>
  </si>
  <si>
    <t>C12</t>
  </si>
  <si>
    <t>C16A, C16B, C20A, C20B</t>
  </si>
  <si>
    <t>C17A, C17B</t>
  </si>
  <si>
    <t>C19A, C19B</t>
  </si>
  <si>
    <t>D1A, D1B</t>
  </si>
  <si>
    <t>D2A, D2B</t>
  </si>
  <si>
    <t>DD1</t>
  </si>
  <si>
    <t>DD2</t>
  </si>
  <si>
    <t>HG2</t>
  </si>
  <si>
    <t>J1</t>
  </si>
  <si>
    <t>L1A, L1B</t>
  </si>
  <si>
    <t>L2</t>
  </si>
  <si>
    <t>L3A, L3B</t>
  </si>
  <si>
    <t>L4A, L4B</t>
  </si>
  <si>
    <t>Q1, Q2, Q3, Q4</t>
  </si>
  <si>
    <t>R1A, R1B</t>
  </si>
  <si>
    <t>R2A, R2B</t>
  </si>
  <si>
    <t>R3, R12, R13, R14, R15</t>
  </si>
  <si>
    <t>R4A, R4B</t>
  </si>
  <si>
    <t>R5A, R5B</t>
  </si>
  <si>
    <t>R6, R8</t>
  </si>
  <si>
    <t>R7</t>
  </si>
  <si>
    <t>R9</t>
  </si>
  <si>
    <t>R10</t>
  </si>
  <si>
    <t>R11</t>
  </si>
  <si>
    <t>RNTC</t>
  </si>
  <si>
    <t>S1</t>
  </si>
  <si>
    <t>VD1A, VD1B, VD2A, VD2B</t>
  </si>
  <si>
    <t>VD3</t>
  </si>
  <si>
    <t>VT1</t>
  </si>
  <si>
    <t>VT2</t>
  </si>
  <si>
    <t>VT3</t>
  </si>
  <si>
    <t>VT4</t>
  </si>
  <si>
    <t>X2, X3</t>
  </si>
  <si>
    <t>Manufacturer</t>
  </si>
  <si>
    <t>Samsung Electro-Mechanics</t>
  </si>
  <si>
    <t>Nichicon</t>
  </si>
  <si>
    <t>TDK Corporation</t>
  </si>
  <si>
    <t>Hitano</t>
  </si>
  <si>
    <t>Yageo</t>
  </si>
  <si>
    <t>Texas Instruments</t>
  </si>
  <si>
    <t>Aerosemi</t>
  </si>
  <si>
    <t>OptoSupply</t>
  </si>
  <si>
    <t>Connfly</t>
  </si>
  <si>
    <t>Shenzhen Sunlord Electronics</t>
  </si>
  <si>
    <t>Chilisin</t>
  </si>
  <si>
    <t>Bourns Inc</t>
  </si>
  <si>
    <t>Sun Rise Electronic</t>
  </si>
  <si>
    <t>Micro Commercial Components</t>
  </si>
  <si>
    <t>Nexperia USA</t>
  </si>
  <si>
    <t>Infineon Technologies</t>
  </si>
  <si>
    <t>Onsemi</t>
  </si>
  <si>
    <t>Degson</t>
  </si>
  <si>
    <t>Part Number</t>
  </si>
  <si>
    <t>CL21A226MAYNNNE</t>
  </si>
  <si>
    <t>CL21B104KBCNNNC</t>
  </si>
  <si>
    <t>RHA0J471MCN1GS</t>
  </si>
  <si>
    <t>CL21B104KCFSFNE</t>
  </si>
  <si>
    <t>C2012X5R1E106M085AC</t>
  </si>
  <si>
    <t>CL21A226MAQNNNE</t>
  </si>
  <si>
    <t>CL21A106KOQNNNE</t>
  </si>
  <si>
    <t>EXR471M16B</t>
  </si>
  <si>
    <t>ELV221M0JRC</t>
  </si>
  <si>
    <t>CC0805JRNPO0BN101</t>
  </si>
  <si>
    <t>LM2596S-ADJ</t>
  </si>
  <si>
    <t>MT3608</t>
  </si>
  <si>
    <t>OSRPMC5B31A</t>
  </si>
  <si>
    <t>DS1021-02SF11</t>
  </si>
  <si>
    <t>SWPA8040S4R7NT</t>
  </si>
  <si>
    <t>BMRA000505302R2MA1</t>
  </si>
  <si>
    <t>SRN1060-220M</t>
  </si>
  <si>
    <t>SRN4018-4R7M</t>
  </si>
  <si>
    <t>RC0805JR-072K2L</t>
  </si>
  <si>
    <t>RC0805JR-073K3L</t>
  </si>
  <si>
    <t>RC0805FR-072K2L, RC0805FR-071KL</t>
  </si>
  <si>
    <t>RC0805FR-0730KL</t>
  </si>
  <si>
    <t>RC0805FR-0710K2L</t>
  </si>
  <si>
    <t>RC0805FR-072K2L</t>
  </si>
  <si>
    <t>RC0805FR-072RL</t>
  </si>
  <si>
    <t>RL0603FR-070R51L</t>
  </si>
  <si>
    <t>RC0805JR-0722RL</t>
  </si>
  <si>
    <t>RC0805FR-07120RL</t>
  </si>
  <si>
    <t>SK22N13U02-2000</t>
  </si>
  <si>
    <t>SK56A-LTP</t>
  </si>
  <si>
    <t>BZX384-A4V7-QX</t>
  </si>
  <si>
    <t>IRLML6344TRPBF</t>
  </si>
  <si>
    <t>2N7002,215</t>
  </si>
  <si>
    <t>DTC143ZET1G</t>
  </si>
  <si>
    <t>DG350-3.5-02P-14-00AH</t>
  </si>
  <si>
    <t>Value</t>
  </si>
  <si>
    <t/>
  </si>
  <si>
    <t>22uF</t>
  </si>
  <si>
    <t>0.1uF</t>
  </si>
  <si>
    <t>470uF</t>
  </si>
  <si>
    <t>10uF</t>
  </si>
  <si>
    <t>220uF</t>
  </si>
  <si>
    <t>100pF</t>
  </si>
  <si>
    <t>4.7uH</t>
  </si>
  <si>
    <t>2.2uH</t>
  </si>
  <si>
    <t>22uH</t>
  </si>
  <si>
    <t>68k</t>
  </si>
  <si>
    <t>3.3k</t>
  </si>
  <si>
    <t>1k</t>
  </si>
  <si>
    <t>30k</t>
  </si>
  <si>
    <t>10k</t>
  </si>
  <si>
    <t>2.2k</t>
  </si>
  <si>
    <t>2</t>
  </si>
  <si>
    <t>0.51</t>
  </si>
  <si>
    <t>22</t>
  </si>
  <si>
    <t>100</t>
  </si>
  <si>
    <t>53k</t>
  </si>
  <si>
    <t>Tolerance</t>
  </si>
  <si>
    <t>±20%</t>
  </si>
  <si>
    <t>±10%</t>
  </si>
  <si>
    <t>±5%</t>
  </si>
  <si>
    <t>±30%</t>
  </si>
  <si>
    <t>±1%</t>
  </si>
  <si>
    <t>Voltage</t>
  </si>
  <si>
    <t>25V</t>
  </si>
  <si>
    <t>50V</t>
  </si>
  <si>
    <t>6.3V</t>
  </si>
  <si>
    <t>100V</t>
  </si>
  <si>
    <t>16V</t>
  </si>
  <si>
    <t>150V</t>
  </si>
  <si>
    <t>NONE</t>
  </si>
  <si>
    <t>60V</t>
  </si>
  <si>
    <t>4.7V</t>
  </si>
  <si>
    <t>Component Type</t>
  </si>
  <si>
    <t>SMD</t>
  </si>
  <si>
    <t>PTH</t>
  </si>
  <si>
    <t>Package</t>
  </si>
  <si>
    <t>0805</t>
  </si>
  <si>
    <t>Size D D8x6.7mm</t>
  </si>
  <si>
    <t>D10x12.5mm</t>
  </si>
  <si>
    <t>Size C D6.3x5.5mm</t>
  </si>
  <si>
    <t>TO-263</t>
  </si>
  <si>
    <t>SOT-23-6</t>
  </si>
  <si>
    <t>5mm</t>
  </si>
  <si>
    <t>8.0x8.0x4.0mm</t>
  </si>
  <si>
    <t>5.4x5.7x2.8mm</t>
  </si>
  <si>
    <t>10x9.8mm</t>
  </si>
  <si>
    <t>4.0x4.0x1.8mm</t>
  </si>
  <si>
    <t>0603</t>
  </si>
  <si>
    <t>SMA</t>
  </si>
  <si>
    <t>SOD-323</t>
  </si>
  <si>
    <t>PG-DSO-8</t>
  </si>
  <si>
    <t>SOT-23</t>
  </si>
  <si>
    <t>SC-75</t>
  </si>
  <si>
    <t>Quantity</t>
  </si>
  <si>
    <t>Comment</t>
  </si>
  <si>
    <t>18650 Holder 2pcs</t>
  </si>
  <si>
    <t>470uFx6.3V</t>
  </si>
  <si>
    <t>470uFx16V</t>
  </si>
  <si>
    <t>220uFx6.3V</t>
  </si>
  <si>
    <t>DW01A-G</t>
  </si>
  <si>
    <t>IP2312</t>
  </si>
  <si>
    <t>PLS-2 (Part of PLS-40)</t>
  </si>
  <si>
    <t>FS8205A</t>
  </si>
  <si>
    <t>IRF9358PBF</t>
  </si>
  <si>
    <t>IRLML6344</t>
  </si>
  <si>
    <t>DG350-3.5-02P</t>
  </si>
  <si>
    <t>Description</t>
  </si>
  <si>
    <t>Battery Holder (Open) 18650 2 Cell PC Pin</t>
  </si>
  <si>
    <t>22uF 25V X5R ±20% 0805 Ceramic Capacitor RoHS</t>
  </si>
  <si>
    <t>100nF 50V X7R ±10% 0805 Ceramic Capacitor RoHS</t>
  </si>
  <si>
    <t>470uF 6.3V ±20% Size D D8x6.7mm SMD Low ESR Aluminum Electrolytic Capacitor, 9mOhm, 4.5A Ripple Current, 2000 Hrs @ 105°C</t>
  </si>
  <si>
    <t>100nF 100V X7R ±10% 0805 Ceramic Capacitor RoHS</t>
  </si>
  <si>
    <t>10uF 25V X5R ±20% 0805 Ceramic Capacitor RoHS</t>
  </si>
  <si>
    <t>10uF 16V Х5R ±10% 0805 Ceramic Capacitor RoHS</t>
  </si>
  <si>
    <t>470uF 16V D10x12.5mm Electrolytic Low Impedance</t>
  </si>
  <si>
    <t>220uF 6.3V ±20% Size C D6.3x5.5mm SMD Electrolytic Capacitor</t>
  </si>
  <si>
    <t>100pF 100V C0G, NP0 ±5% 0805 Ceramic Capacitor RoHS</t>
  </si>
  <si>
    <t>SIMPLE SWITCHER Power Converter 150-kHz 3-A Step-Down Voltage Regulator</t>
  </si>
  <si>
    <t>2V-24V Input High Efficiency 1.2MHz 2A Step Up Converter</t>
  </si>
  <si>
    <t>One Cell Lithium-ion/Polymer Battery Protection IC</t>
  </si>
  <si>
    <t>5mm Phoenix Red &amp; Pure Green LED, 625nm and 525nm, 30°</t>
  </si>
  <si>
    <t>2 Pin 2.54mm Male Header, Vertical, 3mm and 6.1mm, PLS-2</t>
  </si>
  <si>
    <t>4.7uH Magnetic-Resin Shielded Wirewound Inductor 4.1 A 25mOhm Max</t>
  </si>
  <si>
    <t>2.2uH 5A 35mOhm max Closed Magnetic, Molding Processing, Ultra High Current Power Inductor</t>
  </si>
  <si>
    <t>22uH Semi-Shielded Wirewound Inductor 3.4A 53mOhm Max</t>
  </si>
  <si>
    <t>4.7uH Semi-Shielded Wirewound Inductor 1.9A 84mOhm Max</t>
  </si>
  <si>
    <t>Dual N-Channel Enahncement Mode Power MOSFET</t>
  </si>
  <si>
    <t>2.2 kOhms ±5% 1/8W 0805 Thick Film Resistor</t>
  </si>
  <si>
    <t>3.3 kOhms ±5%, 1/8W 0805 Thick Film Resistor</t>
  </si>
  <si>
    <t>2.2 kOhms ±1% 1/8W 0805 Thick Film Resistor, 1 kOhms ±1%, 1/8W 0805 Thick Film Resistor</t>
  </si>
  <si>
    <t>30 kOhms ±1%, 1/8W 0805 Thick Film Resistor</t>
  </si>
  <si>
    <t>10 kOhms ±1%, 1/8W 0805 Thick Film Resistor</t>
  </si>
  <si>
    <t>2.2 kOhms ±1% 1/8W 0805 Thick Film Resistor</t>
  </si>
  <si>
    <t>2 Ohm ±1%, 1/8W 0805 Thick Film Resistor</t>
  </si>
  <si>
    <t>510 mOhms ±1%, 1/10W 0603 Thick Film Resistor</t>
  </si>
  <si>
    <t>22 Ohms ±5%, 1/8W 0805 Thick Film Resistor</t>
  </si>
  <si>
    <t>100 Ohms ±1%, 1/8W 0805 Thick Film Resistor</t>
  </si>
  <si>
    <t>DPDT Switch, 10.4х6х5mm, Knob Length 2 mm</t>
  </si>
  <si>
    <t>Diode Schottky 60V 5A, SMA</t>
  </si>
  <si>
    <t>Zener Diode 4.7V, 300mW, ±1%, Leakage 3uA @ 2V, SOD-323</t>
  </si>
  <si>
    <t>MOSFET 2P-CH 30V 9.2A 8SOIC</t>
  </si>
  <si>
    <t>30V, 5A max N-Channel HEXFET MOSFET, 29mOhm @ Vgs = 4.5V</t>
  </si>
  <si>
    <t>60V, 300mA max N-Channel Trench MOSFET, 3.8Ohm @ Vgs = 4.5V</t>
  </si>
  <si>
    <t>50V, 100mA Low Vce(sat) NPN Digital Transistor, Pre-Biased 4.7k/47k (with built-in resistors)</t>
  </si>
  <si>
    <t>Screw Terminal, 3.5mm Pitch, 2 pin,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</si>
</sst>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Roboto Medium"/>
      <charset val="204"/>
    </font>
    <font>
      <b/>
      <sz val="10"/>
      <color theme="1"/>
      <name val="Roboto Medium"/>
      <charset val="204"/>
    </font>
    <font>
      <sz val="11"/>
      <color theme="0" tint="-0.249977111117893"/>
      <name val="Calibri"/>
      <family val="2"/>
      <charset val="204"/>
      <scheme val="minor"/>
    </font>
    <font>
      <sz val="10"/>
      <color theme="0" tint="-0.34998626667073579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4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49" fontId="1" fillId="0" borderId="0" xfId="0" quotePrefix="1" applyNumberFormat="1" applyFont="1"/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1">
    <cellStyle name="Обычный" xfId="0" builtinId="0"/>
  </cellStyles>
  <dxfs count="42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2"/>
  <sheetViews>
    <sheetView tabSelected="1" view="pageLayout" zoomScale="70" zoomScaleNormal="70" zoomScalePageLayoutView="70" workbookViewId="0">
      <selection activeCell="A9" sqref="A9:K52"/>
    </sheetView>
  </sheetViews>
  <sheetFormatPr defaultRowHeight="14.6" x14ac:dyDescent="0.4"/>
  <cols>
    <col min="1" max="1" width="34.69140625" customWidth="1"/>
    <col min="2" max="2" width="28.69140625" customWidth="1"/>
    <col min="3" max="3" width="27.3046875" customWidth="1"/>
    <col min="5" max="5" width="10.69140625" customWidth="1"/>
    <col min="8" max="8" width="13.15234375" customWidth="1"/>
    <col min="9" max="9" width="8" customWidth="1"/>
    <col min="10" max="10" width="20.15234375" customWidth="1"/>
    <col min="11" max="11" width="37.53515625" customWidth="1"/>
    <col min="12" max="12" width="12.3828125" customWidth="1"/>
    <col min="13" max="13" width="45.84375" customWidth="1"/>
    <col min="14" max="14" width="32" customWidth="1"/>
  </cols>
  <sheetData>
    <row r="1" spans="1:14" x14ac:dyDescent="0.4">
      <c r="A1" s="1" t="s">
        <v>5</v>
      </c>
      <c r="B1" s="12" t="s">
        <v>8</v>
      </c>
      <c r="N1" s="11"/>
    </row>
    <row r="2" spans="1:14" x14ac:dyDescent="0.4">
      <c r="A2" s="1" t="s">
        <v>6</v>
      </c>
      <c r="B2" s="12" t="s">
        <v>9</v>
      </c>
    </row>
    <row r="3" spans="1:14" x14ac:dyDescent="0.4">
      <c r="A3" s="1" t="s">
        <v>7</v>
      </c>
      <c r="B3" s="12" t="s">
        <v>10</v>
      </c>
      <c r="D3" s="10"/>
    </row>
    <row r="4" spans="1:14" x14ac:dyDescent="0.4">
      <c r="A4" s="1" t="s">
        <v>0</v>
      </c>
      <c r="B4" s="12" t="s">
        <v>11</v>
      </c>
    </row>
    <row r="5" spans="1:14" x14ac:dyDescent="0.4">
      <c r="A5" s="1" t="s">
        <v>4</v>
      </c>
      <c r="B5" s="12" t="s">
        <v>12</v>
      </c>
    </row>
    <row r="6" spans="1:14" x14ac:dyDescent="0.4">
      <c r="A6" s="14" t="s">
        <v>1</v>
      </c>
      <c r="B6" s="12" t="s">
        <v>13</v>
      </c>
    </row>
    <row r="7" spans="1:14" x14ac:dyDescent="0.4">
      <c r="A7" s="14"/>
      <c r="B7" s="12" t="s">
        <v>14</v>
      </c>
    </row>
    <row r="9" spans="1:14" x14ac:dyDescent="0.4">
      <c r="A9" s="13" t="s">
        <v>2</v>
      </c>
      <c r="B9" s="13"/>
      <c r="C9" s="13"/>
      <c r="D9" s="13"/>
      <c r="E9" s="13"/>
      <c r="F9" s="13"/>
      <c r="G9" s="13"/>
      <c r="H9" s="13"/>
      <c r="I9" s="15" t="s">
        <v>3</v>
      </c>
      <c r="J9" s="16"/>
      <c r="K9" s="17"/>
      <c r="L9" s="13"/>
      <c r="M9" s="13"/>
      <c r="N9" s="13"/>
    </row>
    <row r="10" spans="1:14" x14ac:dyDescent="0.4">
      <c r="A10" s="13"/>
      <c r="B10" s="13"/>
      <c r="C10" s="13"/>
      <c r="D10" s="13"/>
      <c r="E10" s="13"/>
      <c r="F10" s="13"/>
      <c r="G10" s="13"/>
      <c r="H10" s="13"/>
      <c r="I10" s="18"/>
      <c r="J10" s="19"/>
      <c r="K10" s="20"/>
      <c r="L10" s="21"/>
      <c r="M10" s="22"/>
      <c r="N10" s="2"/>
    </row>
    <row r="11" spans="1:14" x14ac:dyDescent="0.4">
      <c r="A11" s="3" t="s">
        <v>15</v>
      </c>
      <c r="B11" s="3" t="s">
        <v>57</v>
      </c>
      <c r="C11" s="3" t="s">
        <v>76</v>
      </c>
      <c r="D11" s="3" t="s">
        <v>112</v>
      </c>
      <c r="E11" s="3" t="s">
        <v>134</v>
      </c>
      <c r="F11" s="3" t="s">
        <v>140</v>
      </c>
      <c r="G11" s="3" t="s">
        <v>150</v>
      </c>
      <c r="H11" s="3" t="s">
        <v>153</v>
      </c>
      <c r="I11" s="5" t="s">
        <v>171</v>
      </c>
      <c r="J11" s="5" t="s">
        <v>172</v>
      </c>
      <c r="K11" s="5" t="s">
        <v>184</v>
      </c>
      <c r="L11" s="4"/>
      <c r="M11" s="4"/>
      <c r="N11" s="2"/>
    </row>
    <row r="12" spans="1:14" x14ac:dyDescent="0.4">
      <c r="A12" s="6" t="s">
        <v>16</v>
      </c>
      <c r="B12" s="6"/>
      <c r="C12" s="6"/>
      <c r="D12" s="6" t="s">
        <v>113</v>
      </c>
      <c r="E12" s="6"/>
      <c r="F12" s="6"/>
      <c r="G12" s="6"/>
      <c r="H12" s="6" t="s">
        <v>11</v>
      </c>
      <c r="I12" s="8">
        <v>2</v>
      </c>
      <c r="J12" s="6" t="s">
        <v>173</v>
      </c>
      <c r="K12" s="6" t="s">
        <v>185</v>
      </c>
      <c r="L12" s="6"/>
      <c r="M12" s="6"/>
      <c r="N12" s="6"/>
    </row>
    <row r="13" spans="1:14" ht="25.75" x14ac:dyDescent="0.4">
      <c r="A13" s="7" t="s">
        <v>17</v>
      </c>
      <c r="B13" s="7" t="s">
        <v>58</v>
      </c>
      <c r="C13" s="7" t="s">
        <v>77</v>
      </c>
      <c r="D13" s="7" t="s">
        <v>114</v>
      </c>
      <c r="E13" s="7" t="s">
        <v>135</v>
      </c>
      <c r="F13" s="7" t="s">
        <v>141</v>
      </c>
      <c r="G13" s="7" t="s">
        <v>151</v>
      </c>
      <c r="H13" s="7" t="s">
        <v>154</v>
      </c>
      <c r="I13" s="9">
        <v>4</v>
      </c>
      <c r="J13" s="7" t="s">
        <v>114</v>
      </c>
      <c r="K13" s="7" t="s">
        <v>186</v>
      </c>
      <c r="L13" s="7"/>
      <c r="M13" s="7"/>
      <c r="N13" s="7"/>
    </row>
    <row r="14" spans="1:14" ht="25.75" x14ac:dyDescent="0.4">
      <c r="A14" s="6" t="s">
        <v>18</v>
      </c>
      <c r="B14" s="6" t="s">
        <v>58</v>
      </c>
      <c r="C14" s="6" t="s">
        <v>78</v>
      </c>
      <c r="D14" s="6" t="s">
        <v>115</v>
      </c>
      <c r="E14" s="6" t="s">
        <v>136</v>
      </c>
      <c r="F14" s="6" t="s">
        <v>142</v>
      </c>
      <c r="G14" s="6" t="s">
        <v>151</v>
      </c>
      <c r="H14" s="6" t="s">
        <v>154</v>
      </c>
      <c r="I14" s="8">
        <v>8</v>
      </c>
      <c r="J14" s="6" t="s">
        <v>115</v>
      </c>
      <c r="K14" s="6" t="s">
        <v>187</v>
      </c>
      <c r="L14" s="6"/>
      <c r="M14" s="6"/>
      <c r="N14" s="6"/>
    </row>
    <row r="15" spans="1:14" ht="51.45" x14ac:dyDescent="0.4">
      <c r="A15" s="7" t="s">
        <v>19</v>
      </c>
      <c r="B15" s="7" t="s">
        <v>59</v>
      </c>
      <c r="C15" s="7" t="s">
        <v>79</v>
      </c>
      <c r="D15" s="7" t="s">
        <v>116</v>
      </c>
      <c r="E15" s="7" t="s">
        <v>135</v>
      </c>
      <c r="F15" s="7" t="s">
        <v>143</v>
      </c>
      <c r="G15" s="7" t="s">
        <v>151</v>
      </c>
      <c r="H15" s="7" t="s">
        <v>155</v>
      </c>
      <c r="I15" s="9">
        <v>2</v>
      </c>
      <c r="J15" s="7" t="s">
        <v>174</v>
      </c>
      <c r="K15" s="7" t="s">
        <v>188</v>
      </c>
      <c r="L15" s="7"/>
      <c r="M15" s="7"/>
      <c r="N15" s="7"/>
    </row>
    <row r="16" spans="1:14" ht="25.75" x14ac:dyDescent="0.4">
      <c r="A16" s="6" t="s">
        <v>20</v>
      </c>
      <c r="B16" s="6" t="s">
        <v>58</v>
      </c>
      <c r="C16" s="6" t="s">
        <v>80</v>
      </c>
      <c r="D16" s="6" t="s">
        <v>115</v>
      </c>
      <c r="E16" s="6" t="s">
        <v>136</v>
      </c>
      <c r="F16" s="6" t="s">
        <v>144</v>
      </c>
      <c r="G16" s="6" t="s">
        <v>151</v>
      </c>
      <c r="H16" s="6" t="s">
        <v>154</v>
      </c>
      <c r="I16" s="8">
        <v>6</v>
      </c>
      <c r="J16" s="6" t="s">
        <v>115</v>
      </c>
      <c r="K16" s="6" t="s">
        <v>189</v>
      </c>
      <c r="L16" s="6"/>
      <c r="M16" s="6"/>
      <c r="N16" s="6"/>
    </row>
    <row r="17" spans="1:14" ht="25.75" x14ac:dyDescent="0.4">
      <c r="A17" s="7" t="s">
        <v>21</v>
      </c>
      <c r="B17" s="7" t="s">
        <v>60</v>
      </c>
      <c r="C17" s="7" t="s">
        <v>81</v>
      </c>
      <c r="D17" s="7" t="s">
        <v>117</v>
      </c>
      <c r="E17" s="7" t="s">
        <v>135</v>
      </c>
      <c r="F17" s="7" t="s">
        <v>141</v>
      </c>
      <c r="G17" s="7" t="s">
        <v>151</v>
      </c>
      <c r="H17" s="7" t="s">
        <v>154</v>
      </c>
      <c r="I17" s="9">
        <v>1</v>
      </c>
      <c r="J17" s="7" t="s">
        <v>117</v>
      </c>
      <c r="K17" s="7" t="s">
        <v>190</v>
      </c>
      <c r="L17" s="7"/>
      <c r="M17" s="7"/>
      <c r="N17" s="7"/>
    </row>
    <row r="18" spans="1:14" ht="25.75" x14ac:dyDescent="0.4">
      <c r="A18" s="6" t="s">
        <v>22</v>
      </c>
      <c r="B18" s="6" t="s">
        <v>58</v>
      </c>
      <c r="C18" s="6" t="s">
        <v>82</v>
      </c>
      <c r="D18" s="6" t="s">
        <v>114</v>
      </c>
      <c r="E18" s="6" t="s">
        <v>135</v>
      </c>
      <c r="F18" s="6" t="s">
        <v>141</v>
      </c>
      <c r="G18" s="6" t="s">
        <v>151</v>
      </c>
      <c r="H18" s="6" t="s">
        <v>154</v>
      </c>
      <c r="I18" s="8">
        <v>3</v>
      </c>
      <c r="J18" s="6" t="s">
        <v>114</v>
      </c>
      <c r="K18" s="6" t="s">
        <v>186</v>
      </c>
      <c r="L18" s="6"/>
      <c r="M18" s="6"/>
      <c r="N18" s="6"/>
    </row>
    <row r="19" spans="1:14" ht="25.75" x14ac:dyDescent="0.4">
      <c r="A19" s="7" t="s">
        <v>23</v>
      </c>
      <c r="B19" s="7" t="s">
        <v>58</v>
      </c>
      <c r="C19" s="7" t="s">
        <v>83</v>
      </c>
      <c r="D19" s="7" t="s">
        <v>117</v>
      </c>
      <c r="E19" s="7" t="s">
        <v>136</v>
      </c>
      <c r="F19" s="7" t="s">
        <v>145</v>
      </c>
      <c r="G19" s="7" t="s">
        <v>151</v>
      </c>
      <c r="H19" s="7" t="s">
        <v>154</v>
      </c>
      <c r="I19" s="9">
        <v>1</v>
      </c>
      <c r="J19" s="7" t="s">
        <v>117</v>
      </c>
      <c r="K19" s="7" t="s">
        <v>191</v>
      </c>
      <c r="L19" s="7"/>
      <c r="M19" s="7"/>
      <c r="N19" s="7"/>
    </row>
    <row r="20" spans="1:14" ht="25.75" x14ac:dyDescent="0.4">
      <c r="A20" s="6" t="s">
        <v>24</v>
      </c>
      <c r="B20" s="6" t="s">
        <v>61</v>
      </c>
      <c r="C20" s="6" t="s">
        <v>84</v>
      </c>
      <c r="D20" s="6" t="s">
        <v>116</v>
      </c>
      <c r="E20" s="6" t="s">
        <v>135</v>
      </c>
      <c r="F20" s="6" t="s">
        <v>145</v>
      </c>
      <c r="G20" s="6" t="s">
        <v>152</v>
      </c>
      <c r="H20" s="6" t="s">
        <v>156</v>
      </c>
      <c r="I20" s="8">
        <v>4</v>
      </c>
      <c r="J20" s="6" t="s">
        <v>175</v>
      </c>
      <c r="K20" s="6" t="s">
        <v>192</v>
      </c>
      <c r="L20" s="6"/>
      <c r="M20" s="6"/>
      <c r="N20" s="6"/>
    </row>
    <row r="21" spans="1:14" ht="25.75" x14ac:dyDescent="0.4">
      <c r="A21" s="7" t="s">
        <v>25</v>
      </c>
      <c r="B21" s="7" t="s">
        <v>61</v>
      </c>
      <c r="C21" s="7" t="s">
        <v>85</v>
      </c>
      <c r="D21" s="7" t="s">
        <v>118</v>
      </c>
      <c r="E21" s="7" t="s">
        <v>135</v>
      </c>
      <c r="F21" s="7" t="s">
        <v>143</v>
      </c>
      <c r="G21" s="7" t="s">
        <v>151</v>
      </c>
      <c r="H21" s="7" t="s">
        <v>157</v>
      </c>
      <c r="I21" s="9">
        <v>2</v>
      </c>
      <c r="J21" s="7" t="s">
        <v>176</v>
      </c>
      <c r="K21" s="7" t="s">
        <v>193</v>
      </c>
      <c r="L21" s="7"/>
      <c r="M21" s="7"/>
      <c r="N21" s="7"/>
    </row>
    <row r="22" spans="1:14" ht="25.75" x14ac:dyDescent="0.4">
      <c r="A22" s="6" t="s">
        <v>26</v>
      </c>
      <c r="B22" s="6" t="s">
        <v>62</v>
      </c>
      <c r="C22" s="6" t="s">
        <v>86</v>
      </c>
      <c r="D22" s="6" t="s">
        <v>119</v>
      </c>
      <c r="E22" s="6" t="s">
        <v>137</v>
      </c>
      <c r="F22" s="6" t="s">
        <v>144</v>
      </c>
      <c r="G22" s="6" t="s">
        <v>151</v>
      </c>
      <c r="H22" s="6" t="s">
        <v>154</v>
      </c>
      <c r="I22" s="8">
        <v>2</v>
      </c>
      <c r="J22" s="6" t="s">
        <v>119</v>
      </c>
      <c r="K22" s="6" t="s">
        <v>194</v>
      </c>
      <c r="L22" s="6"/>
      <c r="M22" s="6"/>
      <c r="N22" s="6"/>
    </row>
    <row r="23" spans="1:14" ht="25.75" x14ac:dyDescent="0.4">
      <c r="A23" s="7" t="s">
        <v>27</v>
      </c>
      <c r="B23" s="7" t="s">
        <v>63</v>
      </c>
      <c r="C23" s="7" t="s">
        <v>87</v>
      </c>
      <c r="D23" s="7"/>
      <c r="E23" s="7"/>
      <c r="F23" s="7"/>
      <c r="G23" s="7" t="s">
        <v>151</v>
      </c>
      <c r="H23" s="7" t="s">
        <v>158</v>
      </c>
      <c r="I23" s="9">
        <v>2</v>
      </c>
      <c r="J23" s="7" t="s">
        <v>87</v>
      </c>
      <c r="K23" s="7" t="s">
        <v>195</v>
      </c>
      <c r="L23" s="7"/>
      <c r="M23" s="7"/>
      <c r="N23" s="7"/>
    </row>
    <row r="24" spans="1:14" ht="25.75" x14ac:dyDescent="0.4">
      <c r="A24" s="6" t="s">
        <v>28</v>
      </c>
      <c r="B24" s="6" t="s">
        <v>64</v>
      </c>
      <c r="C24" s="6" t="s">
        <v>88</v>
      </c>
      <c r="D24" s="6"/>
      <c r="E24" s="6"/>
      <c r="F24" s="6"/>
      <c r="G24" s="6" t="s">
        <v>151</v>
      </c>
      <c r="H24" s="6" t="s">
        <v>159</v>
      </c>
      <c r="I24" s="8">
        <v>2</v>
      </c>
      <c r="J24" s="6" t="s">
        <v>88</v>
      </c>
      <c r="K24" s="6" t="s">
        <v>196</v>
      </c>
      <c r="L24" s="6"/>
      <c r="M24" s="6"/>
      <c r="N24" s="6"/>
    </row>
    <row r="25" spans="1:14" ht="25.75" x14ac:dyDescent="0.4">
      <c r="A25" s="7" t="s">
        <v>29</v>
      </c>
      <c r="B25" s="7"/>
      <c r="C25" s="7"/>
      <c r="D25" s="7"/>
      <c r="E25" s="7"/>
      <c r="F25" s="7"/>
      <c r="G25" s="7"/>
      <c r="H25" s="7"/>
      <c r="I25" s="9">
        <v>1</v>
      </c>
      <c r="J25" s="7" t="s">
        <v>177</v>
      </c>
      <c r="K25" s="7" t="s">
        <v>197</v>
      </c>
      <c r="L25" s="7"/>
      <c r="M25" s="7"/>
      <c r="N25" s="7"/>
    </row>
    <row r="26" spans="1:14" x14ac:dyDescent="0.4">
      <c r="A26" s="6" t="s">
        <v>30</v>
      </c>
      <c r="B26" s="6"/>
      <c r="C26" s="6"/>
      <c r="D26" s="6"/>
      <c r="E26" s="6"/>
      <c r="F26" s="6"/>
      <c r="G26" s="6"/>
      <c r="H26" s="6"/>
      <c r="I26" s="8">
        <v>1</v>
      </c>
      <c r="J26" s="6" t="s">
        <v>178</v>
      </c>
      <c r="K26" s="6" t="s">
        <v>113</v>
      </c>
      <c r="L26" s="6"/>
      <c r="M26" s="6"/>
      <c r="N26" s="6"/>
    </row>
    <row r="27" spans="1:14" ht="25.75" x14ac:dyDescent="0.4">
      <c r="A27" s="7" t="s">
        <v>31</v>
      </c>
      <c r="B27" s="7" t="s">
        <v>65</v>
      </c>
      <c r="C27" s="7" t="s">
        <v>89</v>
      </c>
      <c r="D27" s="7"/>
      <c r="E27" s="7"/>
      <c r="F27" s="7"/>
      <c r="G27" s="7" t="s">
        <v>152</v>
      </c>
      <c r="H27" s="7" t="s">
        <v>160</v>
      </c>
      <c r="I27" s="9">
        <v>1</v>
      </c>
      <c r="J27" s="7" t="s">
        <v>89</v>
      </c>
      <c r="K27" s="7" t="s">
        <v>198</v>
      </c>
      <c r="L27" s="7"/>
      <c r="M27" s="7"/>
      <c r="N27" s="7"/>
    </row>
    <row r="28" spans="1:14" ht="25.75" x14ac:dyDescent="0.4">
      <c r="A28" s="6" t="s">
        <v>32</v>
      </c>
      <c r="B28" s="6" t="s">
        <v>66</v>
      </c>
      <c r="C28" s="6" t="s">
        <v>90</v>
      </c>
      <c r="D28" s="6"/>
      <c r="E28" s="6"/>
      <c r="F28" s="6"/>
      <c r="G28" s="6" t="s">
        <v>152</v>
      </c>
      <c r="H28" s="6"/>
      <c r="I28" s="8">
        <v>1</v>
      </c>
      <c r="J28" s="6" t="s">
        <v>179</v>
      </c>
      <c r="K28" s="6" t="s">
        <v>199</v>
      </c>
      <c r="L28" s="6"/>
      <c r="M28" s="6"/>
      <c r="N28" s="6"/>
    </row>
    <row r="29" spans="1:14" ht="25.75" x14ac:dyDescent="0.4">
      <c r="A29" s="7" t="s">
        <v>33</v>
      </c>
      <c r="B29" s="7" t="s">
        <v>67</v>
      </c>
      <c r="C29" s="7" t="s">
        <v>91</v>
      </c>
      <c r="D29" s="7" t="s">
        <v>120</v>
      </c>
      <c r="E29" s="7" t="s">
        <v>138</v>
      </c>
      <c r="F29" s="7"/>
      <c r="G29" s="7" t="s">
        <v>151</v>
      </c>
      <c r="H29" s="7" t="s">
        <v>161</v>
      </c>
      <c r="I29" s="9">
        <v>2</v>
      </c>
      <c r="J29" s="7" t="s">
        <v>120</v>
      </c>
      <c r="K29" s="7" t="s">
        <v>200</v>
      </c>
      <c r="L29" s="7"/>
      <c r="M29" s="7"/>
      <c r="N29" s="7"/>
    </row>
    <row r="30" spans="1:14" ht="38.6" x14ac:dyDescent="0.4">
      <c r="A30" s="6" t="s">
        <v>34</v>
      </c>
      <c r="B30" s="6" t="s">
        <v>68</v>
      </c>
      <c r="C30" s="6" t="s">
        <v>92</v>
      </c>
      <c r="D30" s="6" t="s">
        <v>121</v>
      </c>
      <c r="E30" s="6" t="s">
        <v>135</v>
      </c>
      <c r="F30" s="6"/>
      <c r="G30" s="6" t="s">
        <v>151</v>
      </c>
      <c r="H30" s="6" t="s">
        <v>162</v>
      </c>
      <c r="I30" s="8">
        <v>1</v>
      </c>
      <c r="J30" s="6" t="s">
        <v>121</v>
      </c>
      <c r="K30" s="6" t="s">
        <v>201</v>
      </c>
      <c r="L30" s="6"/>
      <c r="M30" s="6"/>
      <c r="N30" s="6"/>
    </row>
    <row r="31" spans="1:14" ht="25.75" x14ac:dyDescent="0.4">
      <c r="A31" s="7" t="s">
        <v>35</v>
      </c>
      <c r="B31" s="7" t="s">
        <v>69</v>
      </c>
      <c r="C31" s="7" t="s">
        <v>93</v>
      </c>
      <c r="D31" s="7" t="s">
        <v>122</v>
      </c>
      <c r="E31" s="7" t="s">
        <v>135</v>
      </c>
      <c r="F31" s="7"/>
      <c r="G31" s="7" t="s">
        <v>151</v>
      </c>
      <c r="H31" s="7" t="s">
        <v>163</v>
      </c>
      <c r="I31" s="9">
        <v>2</v>
      </c>
      <c r="J31" s="7" t="s">
        <v>122</v>
      </c>
      <c r="K31" s="7" t="s">
        <v>202</v>
      </c>
      <c r="L31" s="7"/>
      <c r="M31" s="7"/>
      <c r="N31" s="7"/>
    </row>
    <row r="32" spans="1:14" ht="25.75" x14ac:dyDescent="0.4">
      <c r="A32" s="6" t="s">
        <v>36</v>
      </c>
      <c r="B32" s="6" t="s">
        <v>69</v>
      </c>
      <c r="C32" s="6" t="s">
        <v>94</v>
      </c>
      <c r="D32" s="6" t="s">
        <v>120</v>
      </c>
      <c r="E32" s="6" t="s">
        <v>135</v>
      </c>
      <c r="F32" s="6"/>
      <c r="G32" s="6" t="s">
        <v>151</v>
      </c>
      <c r="H32" s="6" t="s">
        <v>164</v>
      </c>
      <c r="I32" s="8">
        <v>2</v>
      </c>
      <c r="J32" s="6" t="s">
        <v>120</v>
      </c>
      <c r="K32" s="6" t="s">
        <v>203</v>
      </c>
      <c r="L32" s="6"/>
      <c r="M32" s="6"/>
      <c r="N32" s="6"/>
    </row>
    <row r="33" spans="1:14" ht="25.75" x14ac:dyDescent="0.4">
      <c r="A33" s="7" t="s">
        <v>37</v>
      </c>
      <c r="B33" s="7"/>
      <c r="C33" s="7"/>
      <c r="D33" s="7"/>
      <c r="E33" s="7"/>
      <c r="F33" s="7"/>
      <c r="G33" s="7"/>
      <c r="H33" s="7"/>
      <c r="I33" s="9">
        <v>4</v>
      </c>
      <c r="J33" s="7" t="s">
        <v>180</v>
      </c>
      <c r="K33" s="7" t="s">
        <v>204</v>
      </c>
      <c r="L33" s="7"/>
      <c r="M33" s="7"/>
      <c r="N33" s="7"/>
    </row>
    <row r="34" spans="1:14" ht="25.75" x14ac:dyDescent="0.4">
      <c r="A34" s="6" t="s">
        <v>38</v>
      </c>
      <c r="B34" s="6" t="s">
        <v>62</v>
      </c>
      <c r="C34" s="6" t="s">
        <v>95</v>
      </c>
      <c r="D34" s="6" t="s">
        <v>123</v>
      </c>
      <c r="E34" s="6" t="s">
        <v>137</v>
      </c>
      <c r="F34" s="6" t="s">
        <v>146</v>
      </c>
      <c r="G34" s="6" t="s">
        <v>151</v>
      </c>
      <c r="H34" s="6" t="s">
        <v>154</v>
      </c>
      <c r="I34" s="8">
        <v>2</v>
      </c>
      <c r="J34" s="6" t="s">
        <v>123</v>
      </c>
      <c r="K34" s="6" t="s">
        <v>205</v>
      </c>
      <c r="L34" s="6"/>
      <c r="M34" s="6"/>
      <c r="N34" s="6"/>
    </row>
    <row r="35" spans="1:14" ht="25.75" x14ac:dyDescent="0.4">
      <c r="A35" s="7" t="s">
        <v>39</v>
      </c>
      <c r="B35" s="7" t="s">
        <v>62</v>
      </c>
      <c r="C35" s="7" t="s">
        <v>96</v>
      </c>
      <c r="D35" s="7" t="s">
        <v>124</v>
      </c>
      <c r="E35" s="7" t="s">
        <v>137</v>
      </c>
      <c r="F35" s="7" t="s">
        <v>146</v>
      </c>
      <c r="G35" s="7" t="s">
        <v>151</v>
      </c>
      <c r="H35" s="7" t="s">
        <v>154</v>
      </c>
      <c r="I35" s="9">
        <v>2</v>
      </c>
      <c r="J35" s="7" t="s">
        <v>124</v>
      </c>
      <c r="K35" s="7" t="s">
        <v>206</v>
      </c>
      <c r="L35" s="7"/>
      <c r="M35" s="7"/>
      <c r="N35" s="7"/>
    </row>
    <row r="36" spans="1:14" ht="38.6" x14ac:dyDescent="0.4">
      <c r="A36" s="6" t="s">
        <v>40</v>
      </c>
      <c r="B36" s="6" t="s">
        <v>62</v>
      </c>
      <c r="C36" s="6" t="s">
        <v>97</v>
      </c>
      <c r="D36" s="6" t="s">
        <v>125</v>
      </c>
      <c r="E36" s="6" t="s">
        <v>139</v>
      </c>
      <c r="F36" s="6" t="s">
        <v>146</v>
      </c>
      <c r="G36" s="6" t="s">
        <v>151</v>
      </c>
      <c r="H36" s="6" t="s">
        <v>154</v>
      </c>
      <c r="I36" s="8">
        <v>5</v>
      </c>
      <c r="J36" s="6" t="s">
        <v>125</v>
      </c>
      <c r="K36" s="6" t="s">
        <v>207</v>
      </c>
      <c r="L36" s="6"/>
      <c r="M36" s="6"/>
      <c r="N36" s="6"/>
    </row>
    <row r="37" spans="1:14" ht="25.75" x14ac:dyDescent="0.4">
      <c r="A37" s="7" t="s">
        <v>41</v>
      </c>
      <c r="B37" s="7" t="s">
        <v>62</v>
      </c>
      <c r="C37" s="7" t="s">
        <v>98</v>
      </c>
      <c r="D37" s="7" t="s">
        <v>126</v>
      </c>
      <c r="E37" s="7" t="s">
        <v>139</v>
      </c>
      <c r="F37" s="7" t="s">
        <v>146</v>
      </c>
      <c r="G37" s="7" t="s">
        <v>151</v>
      </c>
      <c r="H37" s="7" t="s">
        <v>154</v>
      </c>
      <c r="I37" s="9">
        <v>2</v>
      </c>
      <c r="J37" s="7" t="s">
        <v>126</v>
      </c>
      <c r="K37" s="7" t="s">
        <v>208</v>
      </c>
      <c r="L37" s="7"/>
      <c r="M37" s="7"/>
      <c r="N37" s="7"/>
    </row>
    <row r="38" spans="1:14" ht="25.75" x14ac:dyDescent="0.4">
      <c r="A38" s="6" t="s">
        <v>42</v>
      </c>
      <c r="B38" s="6" t="s">
        <v>62</v>
      </c>
      <c r="C38" s="6" t="s">
        <v>99</v>
      </c>
      <c r="D38" s="6" t="s">
        <v>127</v>
      </c>
      <c r="E38" s="6" t="s">
        <v>139</v>
      </c>
      <c r="F38" s="6" t="s">
        <v>146</v>
      </c>
      <c r="G38" s="6" t="s">
        <v>151</v>
      </c>
      <c r="H38" s="6" t="s">
        <v>154</v>
      </c>
      <c r="I38" s="8">
        <v>2</v>
      </c>
      <c r="J38" s="6" t="s">
        <v>127</v>
      </c>
      <c r="K38" s="6" t="s">
        <v>209</v>
      </c>
      <c r="L38" s="6"/>
      <c r="M38" s="6"/>
      <c r="N38" s="6"/>
    </row>
    <row r="39" spans="1:14" ht="25.75" x14ac:dyDescent="0.4">
      <c r="A39" s="7" t="s">
        <v>43</v>
      </c>
      <c r="B39" s="7" t="s">
        <v>62</v>
      </c>
      <c r="C39" s="7" t="s">
        <v>100</v>
      </c>
      <c r="D39" s="7" t="s">
        <v>128</v>
      </c>
      <c r="E39" s="7" t="s">
        <v>139</v>
      </c>
      <c r="F39" s="7" t="s">
        <v>146</v>
      </c>
      <c r="G39" s="7" t="s">
        <v>151</v>
      </c>
      <c r="H39" s="7" t="s">
        <v>154</v>
      </c>
      <c r="I39" s="9">
        <v>2</v>
      </c>
      <c r="J39" s="7" t="s">
        <v>128</v>
      </c>
      <c r="K39" s="7" t="s">
        <v>210</v>
      </c>
      <c r="L39" s="7"/>
      <c r="M39" s="7"/>
      <c r="N39" s="7"/>
    </row>
    <row r="40" spans="1:14" x14ac:dyDescent="0.4">
      <c r="A40" s="6" t="s">
        <v>44</v>
      </c>
      <c r="B40" s="6" t="s">
        <v>62</v>
      </c>
      <c r="C40" s="6" t="s">
        <v>101</v>
      </c>
      <c r="D40" s="6" t="s">
        <v>129</v>
      </c>
      <c r="E40" s="6" t="s">
        <v>139</v>
      </c>
      <c r="F40" s="6" t="s">
        <v>146</v>
      </c>
      <c r="G40" s="6" t="s">
        <v>151</v>
      </c>
      <c r="H40" s="6" t="s">
        <v>154</v>
      </c>
      <c r="I40" s="8">
        <v>1</v>
      </c>
      <c r="J40" s="6" t="s">
        <v>129</v>
      </c>
      <c r="K40" s="6" t="s">
        <v>211</v>
      </c>
      <c r="L40" s="6"/>
      <c r="M40" s="6"/>
      <c r="N40" s="6"/>
    </row>
    <row r="41" spans="1:14" ht="25.75" x14ac:dyDescent="0.4">
      <c r="A41" s="7" t="s">
        <v>45</v>
      </c>
      <c r="B41" s="7" t="s">
        <v>62</v>
      </c>
      <c r="C41" s="7" t="s">
        <v>102</v>
      </c>
      <c r="D41" s="7" t="s">
        <v>130</v>
      </c>
      <c r="E41" s="7" t="s">
        <v>139</v>
      </c>
      <c r="F41" s="7" t="s">
        <v>147</v>
      </c>
      <c r="G41" s="7" t="s">
        <v>151</v>
      </c>
      <c r="H41" s="7" t="s">
        <v>165</v>
      </c>
      <c r="I41" s="9">
        <v>1</v>
      </c>
      <c r="J41" s="7" t="s">
        <v>130</v>
      </c>
      <c r="K41" s="7" t="s">
        <v>212</v>
      </c>
      <c r="L41" s="7"/>
      <c r="M41" s="7"/>
      <c r="N41" s="7"/>
    </row>
    <row r="42" spans="1:14" ht="25.75" x14ac:dyDescent="0.4">
      <c r="A42" s="6" t="s">
        <v>46</v>
      </c>
      <c r="B42" s="6" t="s">
        <v>62</v>
      </c>
      <c r="C42" s="6" t="s">
        <v>103</v>
      </c>
      <c r="D42" s="6" t="s">
        <v>131</v>
      </c>
      <c r="E42" s="6" t="s">
        <v>137</v>
      </c>
      <c r="F42" s="6" t="s">
        <v>146</v>
      </c>
      <c r="G42" s="6" t="s">
        <v>151</v>
      </c>
      <c r="H42" s="6" t="s">
        <v>154</v>
      </c>
      <c r="I42" s="8">
        <v>1</v>
      </c>
      <c r="J42" s="6" t="s">
        <v>131</v>
      </c>
      <c r="K42" s="6" t="s">
        <v>213</v>
      </c>
      <c r="L42" s="6"/>
      <c r="M42" s="6"/>
      <c r="N42" s="6"/>
    </row>
    <row r="43" spans="1:14" ht="25.75" x14ac:dyDescent="0.4">
      <c r="A43" s="7" t="s">
        <v>47</v>
      </c>
      <c r="B43" s="7" t="s">
        <v>62</v>
      </c>
      <c r="C43" s="7" t="s">
        <v>104</v>
      </c>
      <c r="D43" s="7" t="s">
        <v>132</v>
      </c>
      <c r="E43" s="7" t="s">
        <v>139</v>
      </c>
      <c r="F43" s="7" t="s">
        <v>146</v>
      </c>
      <c r="G43" s="7" t="s">
        <v>151</v>
      </c>
      <c r="H43" s="7" t="s">
        <v>154</v>
      </c>
      <c r="I43" s="9">
        <v>1</v>
      </c>
      <c r="J43" s="7" t="s">
        <v>132</v>
      </c>
      <c r="K43" s="7" t="s">
        <v>214</v>
      </c>
      <c r="L43" s="7"/>
      <c r="M43" s="7"/>
      <c r="N43" s="7"/>
    </row>
    <row r="44" spans="1:14" x14ac:dyDescent="0.4">
      <c r="A44" s="6" t="s">
        <v>48</v>
      </c>
      <c r="B44" s="6" t="s">
        <v>62</v>
      </c>
      <c r="C44" s="6" t="s">
        <v>104</v>
      </c>
      <c r="D44" s="6" t="s">
        <v>133</v>
      </c>
      <c r="E44" s="6" t="s">
        <v>139</v>
      </c>
      <c r="F44" s="6" t="s">
        <v>146</v>
      </c>
      <c r="G44" s="6" t="s">
        <v>151</v>
      </c>
      <c r="H44" s="6" t="s">
        <v>154</v>
      </c>
      <c r="I44" s="8">
        <v>1</v>
      </c>
      <c r="J44" s="6" t="s">
        <v>133</v>
      </c>
      <c r="K44" s="6" t="s">
        <v>133</v>
      </c>
      <c r="L44" s="6"/>
      <c r="M44" s="6"/>
      <c r="N44" s="6"/>
    </row>
    <row r="45" spans="1:14" ht="25.75" x14ac:dyDescent="0.4">
      <c r="A45" s="7" t="s">
        <v>49</v>
      </c>
      <c r="B45" s="7" t="s">
        <v>70</v>
      </c>
      <c r="C45" s="7" t="s">
        <v>105</v>
      </c>
      <c r="D45" s="7"/>
      <c r="E45" s="7"/>
      <c r="F45" s="7"/>
      <c r="G45" s="7" t="s">
        <v>152</v>
      </c>
      <c r="H45" s="7"/>
      <c r="I45" s="9">
        <v>1</v>
      </c>
      <c r="J45" s="7" t="s">
        <v>105</v>
      </c>
      <c r="K45" s="7" t="s">
        <v>215</v>
      </c>
      <c r="L45" s="7"/>
      <c r="M45" s="7"/>
      <c r="N45" s="7"/>
    </row>
    <row r="46" spans="1:14" x14ac:dyDescent="0.4">
      <c r="A46" s="6" t="s">
        <v>50</v>
      </c>
      <c r="B46" s="6" t="s">
        <v>71</v>
      </c>
      <c r="C46" s="6" t="s">
        <v>106</v>
      </c>
      <c r="D46" s="6"/>
      <c r="E46" s="6"/>
      <c r="F46" s="6" t="s">
        <v>148</v>
      </c>
      <c r="G46" s="6" t="s">
        <v>151</v>
      </c>
      <c r="H46" s="6" t="s">
        <v>166</v>
      </c>
      <c r="I46" s="8">
        <v>4</v>
      </c>
      <c r="J46" s="6" t="s">
        <v>106</v>
      </c>
      <c r="K46" s="6" t="s">
        <v>216</v>
      </c>
      <c r="L46" s="6"/>
      <c r="M46" s="6"/>
      <c r="N46" s="6"/>
    </row>
    <row r="47" spans="1:14" ht="25.75" x14ac:dyDescent="0.4">
      <c r="A47" s="7" t="s">
        <v>51</v>
      </c>
      <c r="B47" s="7" t="s">
        <v>72</v>
      </c>
      <c r="C47" s="7" t="s">
        <v>107</v>
      </c>
      <c r="D47" s="7"/>
      <c r="E47" s="7"/>
      <c r="F47" s="7" t="s">
        <v>149</v>
      </c>
      <c r="G47" s="7" t="s">
        <v>151</v>
      </c>
      <c r="H47" s="7" t="s">
        <v>167</v>
      </c>
      <c r="I47" s="9">
        <v>1</v>
      </c>
      <c r="J47" s="7" t="s">
        <v>107</v>
      </c>
      <c r="K47" s="7" t="s">
        <v>217</v>
      </c>
      <c r="L47" s="7"/>
      <c r="M47" s="7"/>
      <c r="N47" s="7"/>
    </row>
    <row r="48" spans="1:14" x14ac:dyDescent="0.4">
      <c r="A48" s="6" t="s">
        <v>52</v>
      </c>
      <c r="B48" s="6" t="s">
        <v>73</v>
      </c>
      <c r="C48" s="6"/>
      <c r="D48" s="6"/>
      <c r="E48" s="6"/>
      <c r="F48" s="6"/>
      <c r="G48" s="6"/>
      <c r="H48" s="6" t="s">
        <v>168</v>
      </c>
      <c r="I48" s="8">
        <v>1</v>
      </c>
      <c r="J48" s="6" t="s">
        <v>181</v>
      </c>
      <c r="K48" s="6" t="s">
        <v>218</v>
      </c>
      <c r="L48" s="6"/>
      <c r="M48" s="6"/>
      <c r="N48" s="6"/>
    </row>
    <row r="49" spans="1:14" ht="25.75" x14ac:dyDescent="0.4">
      <c r="A49" s="7" t="s">
        <v>53</v>
      </c>
      <c r="B49" s="7" t="s">
        <v>73</v>
      </c>
      <c r="C49" s="7" t="s">
        <v>108</v>
      </c>
      <c r="D49" s="7"/>
      <c r="E49" s="7"/>
      <c r="F49" s="7"/>
      <c r="G49" s="7" t="s">
        <v>151</v>
      </c>
      <c r="H49" s="7" t="s">
        <v>169</v>
      </c>
      <c r="I49" s="9">
        <v>1</v>
      </c>
      <c r="J49" s="7" t="s">
        <v>182</v>
      </c>
      <c r="K49" s="7" t="s">
        <v>219</v>
      </c>
      <c r="L49" s="7"/>
      <c r="M49" s="7"/>
      <c r="N49" s="7"/>
    </row>
    <row r="50" spans="1:14" ht="25.75" x14ac:dyDescent="0.4">
      <c r="A50" s="6" t="s">
        <v>54</v>
      </c>
      <c r="B50" s="6" t="s">
        <v>72</v>
      </c>
      <c r="C50" s="6" t="s">
        <v>109</v>
      </c>
      <c r="D50" s="6"/>
      <c r="E50" s="6"/>
      <c r="F50" s="6"/>
      <c r="G50" s="6" t="s">
        <v>151</v>
      </c>
      <c r="H50" s="6" t="s">
        <v>169</v>
      </c>
      <c r="I50" s="8">
        <v>1</v>
      </c>
      <c r="J50" s="6" t="s">
        <v>109</v>
      </c>
      <c r="K50" s="6" t="s">
        <v>220</v>
      </c>
      <c r="L50" s="6"/>
      <c r="M50" s="6"/>
      <c r="N50" s="6"/>
    </row>
    <row r="51" spans="1:14" ht="38.6" x14ac:dyDescent="0.4">
      <c r="A51" s="7" t="s">
        <v>55</v>
      </c>
      <c r="B51" s="7" t="s">
        <v>74</v>
      </c>
      <c r="C51" s="7" t="s">
        <v>110</v>
      </c>
      <c r="D51" s="7"/>
      <c r="E51" s="7"/>
      <c r="F51" s="7"/>
      <c r="G51" s="7" t="s">
        <v>151</v>
      </c>
      <c r="H51" s="7" t="s">
        <v>170</v>
      </c>
      <c r="I51" s="9">
        <v>1</v>
      </c>
      <c r="J51" s="7" t="s">
        <v>110</v>
      </c>
      <c r="K51" s="7" t="s">
        <v>221</v>
      </c>
      <c r="L51" s="7"/>
      <c r="M51" s="7"/>
      <c r="N51" s="7"/>
    </row>
    <row r="52" spans="1:14" x14ac:dyDescent="0.4">
      <c r="A52" s="6" t="s">
        <v>56</v>
      </c>
      <c r="B52" s="6" t="s">
        <v>75</v>
      </c>
      <c r="C52" s="6" t="s">
        <v>111</v>
      </c>
      <c r="D52" s="6"/>
      <c r="E52" s="6"/>
      <c r="F52" s="6"/>
      <c r="G52" s="6" t="s">
        <v>152</v>
      </c>
      <c r="H52" s="6"/>
      <c r="I52" s="8">
        <v>2</v>
      </c>
      <c r="J52" s="6" t="s">
        <v>183</v>
      </c>
      <c r="K52" s="6" t="s">
        <v>222</v>
      </c>
      <c r="L52" s="6"/>
      <c r="M52" s="6"/>
      <c r="N52" s="6"/>
    </row>
  </sheetData>
  <mergeCells count="5">
    <mergeCell ref="L9:N9"/>
    <mergeCell ref="A9:H10"/>
    <mergeCell ref="A6:A7"/>
    <mergeCell ref="I9:K10"/>
    <mergeCell ref="L10:M10"/>
  </mergeCells>
  <conditionalFormatting sqref="N12:N13">
    <cfRule type="containsText" dxfId="41" priority="42" operator="containsText" text="NONE">
      <formula>NOT(ISERROR(SEARCH("NONE",N12)))</formula>
    </cfRule>
  </conditionalFormatting>
  <conditionalFormatting sqref="L12:M13">
    <cfRule type="containsText" dxfId="40" priority="41" operator="containsText" text="NONE">
      <formula>NOT(ISERROR(SEARCH("NONE",L12)))</formula>
    </cfRule>
  </conditionalFormatting>
  <conditionalFormatting sqref="N14:N15">
    <cfRule type="containsText" dxfId="39" priority="40" operator="containsText" text="NONE">
      <formula>NOT(ISERROR(SEARCH("NONE",N14)))</formula>
    </cfRule>
  </conditionalFormatting>
  <conditionalFormatting sqref="L14:M15">
    <cfRule type="containsText" dxfId="38" priority="39" operator="containsText" text="NONE">
      <formula>NOT(ISERROR(SEARCH("NONE",L14)))</formula>
    </cfRule>
  </conditionalFormatting>
  <conditionalFormatting sqref="N16:N17">
    <cfRule type="containsText" dxfId="37" priority="38" operator="containsText" text="NONE">
      <formula>NOT(ISERROR(SEARCH("NONE",N16)))</formula>
    </cfRule>
  </conditionalFormatting>
  <conditionalFormatting sqref="L16:M17">
    <cfRule type="containsText" dxfId="36" priority="37" operator="containsText" text="NONE">
      <formula>NOT(ISERROR(SEARCH("NONE",L16)))</formula>
    </cfRule>
  </conditionalFormatting>
  <conditionalFormatting sqref="N18:N19">
    <cfRule type="containsText" dxfId="35" priority="36" operator="containsText" text="NONE">
      <formula>NOT(ISERROR(SEARCH("NONE",N18)))</formula>
    </cfRule>
  </conditionalFormatting>
  <conditionalFormatting sqref="L18:M19">
    <cfRule type="containsText" dxfId="34" priority="35" operator="containsText" text="NONE">
      <formula>NOT(ISERROR(SEARCH("NONE",L18)))</formula>
    </cfRule>
  </conditionalFormatting>
  <conditionalFormatting sqref="N20:N21">
    <cfRule type="containsText" dxfId="33" priority="34" operator="containsText" text="NONE">
      <formula>NOT(ISERROR(SEARCH("NONE",N20)))</formula>
    </cfRule>
  </conditionalFormatting>
  <conditionalFormatting sqref="L20:M21">
    <cfRule type="containsText" dxfId="32" priority="33" operator="containsText" text="NONE">
      <formula>NOT(ISERROR(SEARCH("NONE",L20)))</formula>
    </cfRule>
  </conditionalFormatting>
  <conditionalFormatting sqref="N22:N23">
    <cfRule type="containsText" dxfId="31" priority="32" operator="containsText" text="NONE">
      <formula>NOT(ISERROR(SEARCH("NONE",N22)))</formula>
    </cfRule>
  </conditionalFormatting>
  <conditionalFormatting sqref="L22:M23">
    <cfRule type="containsText" dxfId="30" priority="31" operator="containsText" text="NONE">
      <formula>NOT(ISERROR(SEARCH("NONE",L22)))</formula>
    </cfRule>
  </conditionalFormatting>
  <conditionalFormatting sqref="N24:N25">
    <cfRule type="containsText" dxfId="29" priority="30" operator="containsText" text="NONE">
      <formula>NOT(ISERROR(SEARCH("NONE",N24)))</formula>
    </cfRule>
  </conditionalFormatting>
  <conditionalFormatting sqref="L24:M25">
    <cfRule type="containsText" dxfId="28" priority="29" operator="containsText" text="NONE">
      <formula>NOT(ISERROR(SEARCH("NONE",L24)))</formula>
    </cfRule>
  </conditionalFormatting>
  <conditionalFormatting sqref="N26:N27">
    <cfRule type="containsText" dxfId="27" priority="28" operator="containsText" text="NONE">
      <formula>NOT(ISERROR(SEARCH("NONE",N26)))</formula>
    </cfRule>
  </conditionalFormatting>
  <conditionalFormatting sqref="L26:M27">
    <cfRule type="containsText" dxfId="26" priority="27" operator="containsText" text="NONE">
      <formula>NOT(ISERROR(SEARCH("NONE",L26)))</formula>
    </cfRule>
  </conditionalFormatting>
  <conditionalFormatting sqref="N28:N29">
    <cfRule type="containsText" dxfId="25" priority="26" operator="containsText" text="NONE">
      <formula>NOT(ISERROR(SEARCH("NONE",N28)))</formula>
    </cfRule>
  </conditionalFormatting>
  <conditionalFormatting sqref="L28:M29">
    <cfRule type="containsText" dxfId="24" priority="25" operator="containsText" text="NONE">
      <formula>NOT(ISERROR(SEARCH("NONE",L28)))</formula>
    </cfRule>
  </conditionalFormatting>
  <conditionalFormatting sqref="N30:N31">
    <cfRule type="containsText" dxfId="23" priority="24" operator="containsText" text="NONE">
      <formula>NOT(ISERROR(SEARCH("NONE",N30)))</formula>
    </cfRule>
  </conditionalFormatting>
  <conditionalFormatting sqref="L30:M31">
    <cfRule type="containsText" dxfId="22" priority="23" operator="containsText" text="NONE">
      <formula>NOT(ISERROR(SEARCH("NONE",L30)))</formula>
    </cfRule>
  </conditionalFormatting>
  <conditionalFormatting sqref="N32:N33">
    <cfRule type="containsText" dxfId="21" priority="22" operator="containsText" text="NONE">
      <formula>NOT(ISERROR(SEARCH("NONE",N32)))</formula>
    </cfRule>
  </conditionalFormatting>
  <conditionalFormatting sqref="L32:M33">
    <cfRule type="containsText" dxfId="20" priority="21" operator="containsText" text="NONE">
      <formula>NOT(ISERROR(SEARCH("NONE",L32)))</formula>
    </cfRule>
  </conditionalFormatting>
  <conditionalFormatting sqref="N34:N35">
    <cfRule type="containsText" dxfId="19" priority="20" operator="containsText" text="NONE">
      <formula>NOT(ISERROR(SEARCH("NONE",N34)))</formula>
    </cfRule>
  </conditionalFormatting>
  <conditionalFormatting sqref="L34:M35">
    <cfRule type="containsText" dxfId="18" priority="19" operator="containsText" text="NONE">
      <formula>NOT(ISERROR(SEARCH("NONE",L34)))</formula>
    </cfRule>
  </conditionalFormatting>
  <conditionalFormatting sqref="N36:N37">
    <cfRule type="containsText" dxfId="17" priority="18" operator="containsText" text="NONE">
      <formula>NOT(ISERROR(SEARCH("NONE",N36)))</formula>
    </cfRule>
  </conditionalFormatting>
  <conditionalFormatting sqref="L36:M37">
    <cfRule type="containsText" dxfId="16" priority="17" operator="containsText" text="NONE">
      <formula>NOT(ISERROR(SEARCH("NONE",L36)))</formula>
    </cfRule>
  </conditionalFormatting>
  <conditionalFormatting sqref="N38:N39">
    <cfRule type="containsText" dxfId="15" priority="16" operator="containsText" text="NONE">
      <formula>NOT(ISERROR(SEARCH("NONE",N38)))</formula>
    </cfRule>
  </conditionalFormatting>
  <conditionalFormatting sqref="L38:M39">
    <cfRule type="containsText" dxfId="14" priority="15" operator="containsText" text="NONE">
      <formula>NOT(ISERROR(SEARCH("NONE",L38)))</formula>
    </cfRule>
  </conditionalFormatting>
  <conditionalFormatting sqref="N40:N41">
    <cfRule type="containsText" dxfId="13" priority="14" operator="containsText" text="NONE">
      <formula>NOT(ISERROR(SEARCH("NONE",N40)))</formula>
    </cfRule>
  </conditionalFormatting>
  <conditionalFormatting sqref="L40:M41">
    <cfRule type="containsText" dxfId="12" priority="13" operator="containsText" text="NONE">
      <formula>NOT(ISERROR(SEARCH("NONE",L40)))</formula>
    </cfRule>
  </conditionalFormatting>
  <conditionalFormatting sqref="N42:N43">
    <cfRule type="containsText" dxfId="11" priority="12" operator="containsText" text="NONE">
      <formula>NOT(ISERROR(SEARCH("NONE",N42)))</formula>
    </cfRule>
  </conditionalFormatting>
  <conditionalFormatting sqref="L42:M43">
    <cfRule type="containsText" dxfId="10" priority="11" operator="containsText" text="NONE">
      <formula>NOT(ISERROR(SEARCH("NONE",L42)))</formula>
    </cfRule>
  </conditionalFormatting>
  <conditionalFormatting sqref="N44:N45">
    <cfRule type="containsText" dxfId="9" priority="10" operator="containsText" text="NONE">
      <formula>NOT(ISERROR(SEARCH("NONE",N44)))</formula>
    </cfRule>
  </conditionalFormatting>
  <conditionalFormatting sqref="L44:M45">
    <cfRule type="containsText" dxfId="8" priority="9" operator="containsText" text="NONE">
      <formula>NOT(ISERROR(SEARCH("NONE",L44)))</formula>
    </cfRule>
  </conditionalFormatting>
  <conditionalFormatting sqref="N46:N47">
    <cfRule type="containsText" dxfId="7" priority="8" operator="containsText" text="NONE">
      <formula>NOT(ISERROR(SEARCH("NONE",N46)))</formula>
    </cfRule>
  </conditionalFormatting>
  <conditionalFormatting sqref="L46:M47">
    <cfRule type="containsText" dxfId="6" priority="7" operator="containsText" text="NONE">
      <formula>NOT(ISERROR(SEARCH("NONE",L46)))</formula>
    </cfRule>
  </conditionalFormatting>
  <conditionalFormatting sqref="N48:N49">
    <cfRule type="containsText" dxfId="5" priority="6" operator="containsText" text="NONE">
      <formula>NOT(ISERROR(SEARCH("NONE",N48)))</formula>
    </cfRule>
  </conditionalFormatting>
  <conditionalFormatting sqref="L48:M49">
    <cfRule type="containsText" dxfId="4" priority="5" operator="containsText" text="NONE">
      <formula>NOT(ISERROR(SEARCH("NONE",L48)))</formula>
    </cfRule>
  </conditionalFormatting>
  <conditionalFormatting sqref="N50:N51">
    <cfRule type="containsText" dxfId="3" priority="4" operator="containsText" text="NONE">
      <formula>NOT(ISERROR(SEARCH("NONE",N50)))</formula>
    </cfRule>
  </conditionalFormatting>
  <conditionalFormatting sqref="L50:M51">
    <cfRule type="containsText" dxfId="2" priority="3" operator="containsText" text="NONE">
      <formula>NOT(ISERROR(SEARCH("NONE",L50)))</formula>
    </cfRule>
  </conditionalFormatting>
  <conditionalFormatting sqref="N52">
    <cfRule type="containsText" dxfId="1" priority="2" operator="containsText" text="NONE">
      <formula>NOT(ISERROR(SEARCH("NONE",N52)))</formula>
    </cfRule>
  </conditionalFormatting>
  <conditionalFormatting sqref="L52:M52">
    <cfRule type="containsText" dxfId="0" priority="1" operator="containsText" text="NONE">
      <formula>NOT(ISERROR(SEARCH("NONE",L52)))</formula>
    </cfRule>
  </conditionalFormatting>
  <printOptions horizontalCentered="1"/>
  <pageMargins left="0.25" right="0.25" top="0.75" bottom="0.75" header="0.3" footer="0.3"/>
  <pageSetup paperSize="9" scale="47" fitToHeight="0" orientation="landscape" r:id="rId1"/>
  <headerFooter>
    <oddHeader>&amp;C
&amp;"Roboto Thin,обычный"&amp;36PCB Bill of Materials</oddHeader>
    <oddFooter>&amp;R&amp;"Roboto Medium,обычный"&amp;12page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andreyk</dc:creator>
  <cp:lastModifiedBy>Vitech-UA</cp:lastModifiedBy>
  <cp:lastPrinted>2025-09-02T18:46:52Z</cp:lastPrinted>
  <dcterms:created xsi:type="dcterms:W3CDTF">2018-02-21T14:16:31Z</dcterms:created>
  <dcterms:modified xsi:type="dcterms:W3CDTF">2025-09-02T18:52:38Z</dcterms:modified>
</cp:coreProperties>
</file>