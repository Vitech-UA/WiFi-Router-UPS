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RADIO_ELECTRONICS\cxem\Для домy\WiFi-Router-UPS\PROD\"/>
    </mc:Choice>
  </mc:AlternateContent>
  <xr:revisionPtr revIDLastSave="0" documentId="13_ncr:1_{3D228AFA-2E43-4BBF-8C70-4EFBCB16F9F0}" xr6:coauthVersionLast="47" xr6:coauthVersionMax="47" xr10:uidLastSave="{00000000-0000-0000-0000-000000000000}"/>
  <bookViews>
    <workbookView xWindow="38290" yWindow="-110" windowWidth="25820" windowHeight="140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0" i="1" l="1"/>
  <c r="G28" i="1"/>
  <c r="F28" i="1"/>
</calcChain>
</file>

<file path=xl/sharedStrings.xml><?xml version="1.0" encoding="utf-8"?>
<sst xmlns="http://schemas.openxmlformats.org/spreadsheetml/2006/main" count="36" uniqueCount="36">
  <si>
    <t>Корпус :</t>
  </si>
  <si>
    <t>Лінка</t>
  </si>
  <si>
    <t>Доставка</t>
  </si>
  <si>
    <t>https://rozetka.com.ua/ua/309596443/p309596443/</t>
  </si>
  <si>
    <t>https://imrad.com.ua/ua/mt3608-0</t>
  </si>
  <si>
    <t>MT3608</t>
  </si>
  <si>
    <t>LM2596</t>
  </si>
  <si>
    <t>https://imrad.com.ua/ua/lm2596sx-adj-nopb-24592</t>
  </si>
  <si>
    <t>IP2312</t>
  </si>
  <si>
    <t>https://arduino.ua/prod5744-modyl-zaryady-1s-li-ion-akymylyatoriv-na-ip2312</t>
  </si>
  <si>
    <t>Замовлення плат</t>
  </si>
  <si>
    <t>Електроліти</t>
  </si>
  <si>
    <t>https://imrad.com.ua/ua/eeefk1c331p-4</t>
  </si>
  <si>
    <t>Стойки</t>
  </si>
  <si>
    <t>https://imrad.com.ua/ua/hp-20-6</t>
  </si>
  <si>
    <t>Стабілітрони</t>
  </si>
  <si>
    <t>https://imrad.com.ua/ua/bzx384-c4v7-115-9</t>
  </si>
  <si>
    <t>див. картинку</t>
  </si>
  <si>
    <t>Ціна,грн</t>
  </si>
  <si>
    <t>к-ть ШТ</t>
  </si>
  <si>
    <t>Індуктивність силова</t>
  </si>
  <si>
    <t>https://imrad.com.ua/ua/cdrh124np-220mc-6</t>
  </si>
  <si>
    <t>Кераміка 22uF</t>
  </si>
  <si>
    <t>https://imrad.com.ua/ua/grm21br61e226me44l-1</t>
  </si>
  <si>
    <t>PD Трігер</t>
  </si>
  <si>
    <t>https://arduino.ua/prod3647-modyl-usb-power-delivery-dlya-zaryadnih-ystroistv-qc3-0-12v</t>
  </si>
  <si>
    <t>Діоди SK56</t>
  </si>
  <si>
    <t>https://imrad.com.ua/ua/sk56-3</t>
  </si>
  <si>
    <t>Силовий транзистор</t>
  </si>
  <si>
    <t>https://imrad.com.ua/ua/irf7328trpbf-3</t>
  </si>
  <si>
    <t>Запобіжник плавкий</t>
  </si>
  <si>
    <t>BMS</t>
  </si>
  <si>
    <t>https://arduino.ua/prod8039-plata-zahisty-akymylyatora-1s-li-ion-12a-18650-1sht</t>
  </si>
  <si>
    <t>https://imrad.com.ua/ua/0679l9100-01-8</t>
  </si>
  <si>
    <t>Відсік для акумів</t>
  </si>
  <si>
    <t>https://arduino.ua/prod2725-4cell-18650-battery-holder-through-hole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</si>
</sst>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/>
    <xf numFmtId="0" fontId="0" fillId="2" borderId="0" xfId="0" applyFill="1"/>
    <xf numFmtId="0" fontId="1" fillId="2" borderId="0" xfId="1" applyFill="1"/>
    <xf numFmtId="0" fontId="0" fillId="3" borderId="0" xfId="0" applyFill="1"/>
    <xf numFmtId="0" fontId="0" fillId="4" borderId="0" xfId="0" applyFill="1"/>
    <xf numFmtId="0" fontId="1" fillId="4" borderId="0" xfId="1" applyFill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14</xdr:row>
      <xdr:rowOff>0</xdr:rowOff>
    </xdr:from>
    <xdr:to>
      <xdr:col>35</xdr:col>
      <xdr:colOff>435969</xdr:colOff>
      <xdr:row>99</xdr:row>
      <xdr:rowOff>16637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6E2BD288-6313-4BA9-93AF-ED2E72D1CA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0400" y="2025650"/>
          <a:ext cx="17428571" cy="156666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mrad.com.ua/ua/cdrh124np-220mc-6" TargetMode="External"/><Relationship Id="rId13" Type="http://schemas.openxmlformats.org/officeDocument/2006/relationships/hyperlink" Target="https://arduino.ua/prod8039-plata-zahisty-akymylyatora-1s-li-ion-12a-18650-1sht" TargetMode="External"/><Relationship Id="rId3" Type="http://schemas.openxmlformats.org/officeDocument/2006/relationships/hyperlink" Target="https://imrad.com.ua/ua/lm2596sx-adj-nopb-24592" TargetMode="External"/><Relationship Id="rId7" Type="http://schemas.openxmlformats.org/officeDocument/2006/relationships/hyperlink" Target="https://imrad.com.ua/ua/bzx384-c4v7-115-9" TargetMode="External"/><Relationship Id="rId12" Type="http://schemas.openxmlformats.org/officeDocument/2006/relationships/hyperlink" Target="https://imrad.com.ua/ua/irf7328trpbf-3" TargetMode="External"/><Relationship Id="rId2" Type="http://schemas.openxmlformats.org/officeDocument/2006/relationships/hyperlink" Target="https://imrad.com.ua/ua/mt3608-0" TargetMode="External"/><Relationship Id="rId16" Type="http://schemas.openxmlformats.org/officeDocument/2006/relationships/drawing" Target="../drawings/drawing1.xml"/><Relationship Id="rId1" Type="http://schemas.openxmlformats.org/officeDocument/2006/relationships/hyperlink" Target="https://rozetka.com.ua/ua/309596443/p309596443/" TargetMode="External"/><Relationship Id="rId6" Type="http://schemas.openxmlformats.org/officeDocument/2006/relationships/hyperlink" Target="https://imrad.com.ua/ua/hp-20-6" TargetMode="External"/><Relationship Id="rId11" Type="http://schemas.openxmlformats.org/officeDocument/2006/relationships/hyperlink" Target="https://imrad.com.ua/ua/sk56-3" TargetMode="External"/><Relationship Id="rId5" Type="http://schemas.openxmlformats.org/officeDocument/2006/relationships/hyperlink" Target="https://imrad.com.ua/ua/eeefk1c331p-4" TargetMode="External"/><Relationship Id="rId15" Type="http://schemas.openxmlformats.org/officeDocument/2006/relationships/hyperlink" Target="https://arduino.ua/prod2725-4cell-18650-battery-holder-through-hole" TargetMode="External"/><Relationship Id="rId10" Type="http://schemas.openxmlformats.org/officeDocument/2006/relationships/hyperlink" Target="https://arduino.ua/prod3647-modyl-usb-power-delivery-dlya-zaryadnih-ystroistv-qc3-0-12v" TargetMode="External"/><Relationship Id="rId4" Type="http://schemas.openxmlformats.org/officeDocument/2006/relationships/hyperlink" Target="https://arduino.ua/prod5744-modyl-zaryady-1s-li-ion-akymylyatoriv-na-ip2312" TargetMode="External"/><Relationship Id="rId9" Type="http://schemas.openxmlformats.org/officeDocument/2006/relationships/hyperlink" Target="https://imrad.com.ua/ua/grm21br61e226me44l-1" TargetMode="External"/><Relationship Id="rId14" Type="http://schemas.openxmlformats.org/officeDocument/2006/relationships/hyperlink" Target="https://imrad.com.ua/ua/0679l9100-01-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H30"/>
  <sheetViews>
    <sheetView tabSelected="1" zoomScale="70" zoomScaleNormal="70" workbookViewId="0">
      <selection activeCell="E33" sqref="E33"/>
    </sheetView>
  </sheetViews>
  <sheetFormatPr defaultRowHeight="14.6" x14ac:dyDescent="0.4"/>
  <cols>
    <col min="4" max="4" width="37.23046875" customWidth="1"/>
    <col min="5" max="5" width="76" customWidth="1"/>
    <col min="7" max="7" width="14.07421875" customWidth="1"/>
  </cols>
  <sheetData>
    <row r="3" spans="4:8" x14ac:dyDescent="0.4">
      <c r="E3" t="s">
        <v>1</v>
      </c>
      <c r="F3" t="s">
        <v>18</v>
      </c>
      <c r="G3" t="s">
        <v>2</v>
      </c>
      <c r="H3" t="s">
        <v>19</v>
      </c>
    </row>
    <row r="8" spans="4:8" x14ac:dyDescent="0.4">
      <c r="D8" s="2" t="s">
        <v>0</v>
      </c>
      <c r="E8" s="3" t="s">
        <v>3</v>
      </c>
      <c r="F8" s="2">
        <v>152</v>
      </c>
      <c r="G8" s="2">
        <v>60</v>
      </c>
      <c r="H8" s="2">
        <v>2</v>
      </c>
    </row>
    <row r="9" spans="4:8" x14ac:dyDescent="0.4">
      <c r="D9" t="s">
        <v>5</v>
      </c>
      <c r="E9" s="1" t="s">
        <v>4</v>
      </c>
      <c r="F9">
        <v>14</v>
      </c>
      <c r="H9">
        <v>3</v>
      </c>
    </row>
    <row r="10" spans="4:8" x14ac:dyDescent="0.4">
      <c r="D10" t="s">
        <v>6</v>
      </c>
      <c r="E10" s="1" t="s">
        <v>7</v>
      </c>
      <c r="F10">
        <v>332</v>
      </c>
      <c r="H10">
        <v>4</v>
      </c>
    </row>
    <row r="11" spans="4:8" x14ac:dyDescent="0.4">
      <c r="D11" s="2" t="s">
        <v>31</v>
      </c>
      <c r="E11" s="3" t="s">
        <v>32</v>
      </c>
      <c r="F11" s="2">
        <v>52</v>
      </c>
      <c r="G11" s="2"/>
      <c r="H11" s="2">
        <v>2</v>
      </c>
    </row>
    <row r="12" spans="4:8" x14ac:dyDescent="0.4">
      <c r="D12" s="2" t="s">
        <v>24</v>
      </c>
      <c r="E12" s="3" t="s">
        <v>25</v>
      </c>
      <c r="F12" s="2">
        <v>72</v>
      </c>
      <c r="G12" s="2"/>
      <c r="H12" s="2">
        <v>2</v>
      </c>
    </row>
    <row r="13" spans="4:8" x14ac:dyDescent="0.4">
      <c r="D13" s="2" t="s">
        <v>34</v>
      </c>
      <c r="E13" s="3" t="s">
        <v>35</v>
      </c>
      <c r="F13" s="2">
        <v>78</v>
      </c>
      <c r="G13" s="2"/>
      <c r="H13" s="2">
        <v>2</v>
      </c>
    </row>
    <row r="14" spans="4:8" x14ac:dyDescent="0.4">
      <c r="D14" s="2" t="s">
        <v>8</v>
      </c>
      <c r="E14" s="3" t="s">
        <v>9</v>
      </c>
      <c r="F14" s="2">
        <v>72</v>
      </c>
      <c r="G14" s="2">
        <v>60</v>
      </c>
      <c r="H14" s="2">
        <v>2</v>
      </c>
    </row>
    <row r="15" spans="4:8" x14ac:dyDescent="0.4">
      <c r="D15" s="4" t="s">
        <v>10</v>
      </c>
      <c r="E15" s="4" t="s">
        <v>17</v>
      </c>
      <c r="F15" s="4">
        <v>312</v>
      </c>
      <c r="G15" s="4"/>
      <c r="H15" s="4">
        <v>2</v>
      </c>
    </row>
    <row r="16" spans="4:8" x14ac:dyDescent="0.4">
      <c r="D16" s="5" t="s">
        <v>11</v>
      </c>
      <c r="E16" s="6" t="s">
        <v>12</v>
      </c>
      <c r="F16" s="5">
        <v>48</v>
      </c>
      <c r="G16" s="5"/>
      <c r="H16" s="5">
        <v>4</v>
      </c>
    </row>
    <row r="17" spans="4:8" x14ac:dyDescent="0.4">
      <c r="D17" s="5" t="s">
        <v>13</v>
      </c>
      <c r="E17" s="6" t="s">
        <v>14</v>
      </c>
      <c r="F17" s="5">
        <v>13</v>
      </c>
      <c r="G17" s="5"/>
      <c r="H17" s="5">
        <v>8</v>
      </c>
    </row>
    <row r="18" spans="4:8" x14ac:dyDescent="0.4">
      <c r="D18" s="5" t="s">
        <v>15</v>
      </c>
      <c r="E18" s="6" t="s">
        <v>16</v>
      </c>
      <c r="F18" s="5">
        <v>17</v>
      </c>
      <c r="G18" s="5"/>
      <c r="H18" s="5">
        <v>10</v>
      </c>
    </row>
    <row r="19" spans="4:8" x14ac:dyDescent="0.4">
      <c r="D19" s="5" t="s">
        <v>20</v>
      </c>
      <c r="E19" s="6" t="s">
        <v>21</v>
      </c>
      <c r="F19" s="5">
        <v>168</v>
      </c>
      <c r="G19" s="5"/>
      <c r="H19" s="5">
        <v>4</v>
      </c>
    </row>
    <row r="20" spans="4:8" x14ac:dyDescent="0.4">
      <c r="D20" s="5" t="s">
        <v>22</v>
      </c>
      <c r="E20" s="6" t="s">
        <v>23</v>
      </c>
      <c r="F20" s="5">
        <v>55</v>
      </c>
      <c r="G20" s="5"/>
      <c r="H20" s="5">
        <v>12</v>
      </c>
    </row>
    <row r="21" spans="4:8" x14ac:dyDescent="0.4">
      <c r="D21" s="5" t="s">
        <v>26</v>
      </c>
      <c r="E21" s="6" t="s">
        <v>27</v>
      </c>
      <c r="F21" s="5">
        <v>42</v>
      </c>
      <c r="G21" s="5"/>
      <c r="H21" s="5">
        <v>9</v>
      </c>
    </row>
    <row r="22" spans="4:8" x14ac:dyDescent="0.4">
      <c r="D22" s="5" t="s">
        <v>28</v>
      </c>
      <c r="E22" s="6" t="s">
        <v>29</v>
      </c>
      <c r="F22" s="5">
        <v>75</v>
      </c>
      <c r="G22" s="5"/>
      <c r="H22" s="5">
        <v>2</v>
      </c>
    </row>
    <row r="23" spans="4:8" x14ac:dyDescent="0.4">
      <c r="D23" s="5" t="s">
        <v>30</v>
      </c>
      <c r="E23" s="6" t="s">
        <v>33</v>
      </c>
      <c r="F23" s="5">
        <v>44</v>
      </c>
      <c r="G23" s="5">
        <v>60</v>
      </c>
      <c r="H23" s="5">
        <v>2</v>
      </c>
    </row>
    <row r="28" spans="4:8" x14ac:dyDescent="0.4">
      <c r="F28">
        <f>SUM(F8:F23)</f>
        <v>1546</v>
      </c>
      <c r="G28">
        <f>SUM(G8:G23)</f>
        <v>180</v>
      </c>
    </row>
    <row r="30" spans="4:8" x14ac:dyDescent="0.4">
      <c r="G30">
        <f>SUM(F28:G28)</f>
        <v>1726</v>
      </c>
    </row>
  </sheetData>
  <hyperlinks>
    <hyperlink ref="E8" r:id="rId1" xr:uid="{739673EF-1376-49C3-999F-5BF27E55636D}"/>
    <hyperlink ref="E9" r:id="rId2" xr:uid="{30645B99-DF08-4B24-BC27-414D12570FC9}"/>
    <hyperlink ref="E10" r:id="rId3" xr:uid="{9C17CD60-D0FA-4EFF-9950-0E0F23520284}"/>
    <hyperlink ref="E14" r:id="rId4" xr:uid="{2E13FA77-F69F-45F0-AF6D-9E4B9A341723}"/>
    <hyperlink ref="E16" r:id="rId5" xr:uid="{EBE1D9ED-A3A4-4F94-8345-B2B66D91AD30}"/>
    <hyperlink ref="E17" r:id="rId6" xr:uid="{CBC70CE4-1F77-4FB0-922D-57B1DE2E934B}"/>
    <hyperlink ref="E18" r:id="rId7" xr:uid="{AB15ECC9-F616-4184-9464-55731E91641E}"/>
    <hyperlink ref="E19" r:id="rId8" xr:uid="{DE4FCCFC-4E3F-4028-BDE1-7CD06A197608}"/>
    <hyperlink ref="E20" r:id="rId9" xr:uid="{E9C0011F-D91A-480E-A02D-6D1A10BCAB5D}"/>
    <hyperlink ref="E12" r:id="rId10" xr:uid="{AF1DB8AB-189E-4FBD-8905-57AA3DC9D281}"/>
    <hyperlink ref="E21" r:id="rId11" xr:uid="{5312F1EC-E12D-4750-8AC4-DCDAD84832FC}"/>
    <hyperlink ref="E22" r:id="rId12" xr:uid="{8257FDA0-A675-436A-8927-974C7DF0C430}"/>
    <hyperlink ref="E11" r:id="rId13" xr:uid="{2172178D-CF1A-4EDF-AA51-598629678F76}"/>
    <hyperlink ref="E23" r:id="rId14" xr:uid="{F2FF8843-7C4E-445B-A97D-0A700F6CC5DD}"/>
    <hyperlink ref="E13" r:id="rId15" xr:uid="{13F120B7-923D-4A87-9154-AAB54654233B}"/>
  </hyperlinks>
  <pageMargins left="0.7" right="0.7" top="0.75" bottom="0.75" header="0.3" footer="0.3"/>
  <drawing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Кабанілллл</dc:creator>
  <cp:lastModifiedBy>Vitech-UA</cp:lastModifiedBy>
  <dcterms:created xsi:type="dcterms:W3CDTF">2015-06-05T18:19:34Z</dcterms:created>
  <dcterms:modified xsi:type="dcterms:W3CDTF">2025-12-29T20:57:50Z</dcterms:modified>
</cp:coreProperties>
</file>